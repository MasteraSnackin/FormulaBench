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2100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bib">'[1]Data Peserta'!$B$1:$N$820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rgb="FF000000"/>
      <sz val="10"/>
      <scheme val="minor"/>
    </font>
    <font>
      <name val="Calibri"/>
      <charset val="134"/>
      <family val="3"/>
      <b val="1"/>
      <color rgb="FF000000"/>
      <sz val="10"/>
      <scheme val="minor"/>
    </font>
    <font>
      <name val="Arial Unicode MS"/>
      <family val="2"/>
      <color rgb="FF000000"/>
      <sz val="10"/>
    </font>
    <font>
      <name val="Calibri"/>
      <charset val="134"/>
      <family val="3"/>
      <sz val="9"/>
      <scheme val="minor"/>
    </font>
    <font>
      <name val="Calibri"/>
      <family val="2"/>
      <b val="1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6" tint="0.7999206518753624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theme="9" tint="0.79992065187536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14" fontId="1" fillId="3" borderId="0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14" fontId="0" fillId="4" borderId="1" applyAlignment="1" pivotButton="0" quotePrefix="0" xfId="0">
      <alignment horizontal="center" vertical="top"/>
    </xf>
    <xf numFmtId="14" fontId="0" fillId="6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14" fontId="0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anggih.wirawan/Downloads/Time%20Recap%20Blue%20Tim/GWIS%20Night%20Race%202023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K7" sqref="K7"/>
    </sheetView>
  </sheetViews>
  <sheetFormatPr baseColWidth="8" defaultColWidth="11.19921875" defaultRowHeight="13"/>
  <sheetData>
    <row r="1">
      <c r="A1" s="2" t="inlineStr">
        <is>
          <t>REPORT Date</t>
        </is>
      </c>
      <c r="B1" s="3" t="n">
        <v>45291</v>
      </c>
      <c r="C1" s="2" t="n"/>
      <c r="D1" s="2" t="n"/>
      <c r="E1" s="2" t="n"/>
      <c r="F1" s="2" t="n"/>
      <c r="G1" s="2" t="n"/>
      <c r="H1" s="2" t="n"/>
      <c r="I1" s="2" t="n"/>
      <c r="J1" s="2" t="n"/>
      <c r="K1" s="13" t="n"/>
      <c r="L1" s="2" t="n"/>
      <c r="M1" s="2" t="n"/>
      <c r="N1" s="2" t="n"/>
      <c r="O1" s="2" t="n"/>
    </row>
    <row r="2" ht="52" customHeight="1">
      <c r="A2" s="4" t="inlineStr">
        <is>
          <t>NAME</t>
        </is>
      </c>
      <c r="B2" s="4" t="inlineStr">
        <is>
          <t>GENDER</t>
        </is>
      </c>
      <c r="C2" s="4" t="inlineStr">
        <is>
          <t>DATE OF BIRTH</t>
        </is>
      </c>
      <c r="D2" s="4" t="inlineStr">
        <is>
          <t xml:space="preserve">EASY FORMULA or DIRECT FORMULA </t>
        </is>
      </c>
      <c r="E2" s="5" t="inlineStr">
        <is>
          <t>Expected Result</t>
        </is>
      </c>
      <c r="F2" s="1" t="n"/>
      <c r="G2" s="1" t="n"/>
      <c r="H2" s="6" t="inlineStr">
        <is>
          <t>YEAR (age)</t>
        </is>
      </c>
      <c r="I2" s="6" t="inlineStr">
        <is>
          <t>CATEGORY</t>
        </is>
      </c>
      <c r="J2" s="1" t="n"/>
      <c r="K2" s="13" t="n"/>
      <c r="L2" s="1" t="n"/>
      <c r="M2" s="1" t="n"/>
      <c r="N2" s="1" t="n"/>
      <c r="O2" s="11" t="inlineStr">
        <is>
          <t>age (year)</t>
        </is>
      </c>
    </row>
    <row r="3">
      <c r="A3" s="7" t="inlineStr">
        <is>
          <t>XXX</t>
        </is>
      </c>
      <c r="B3" s="7" t="inlineStr">
        <is>
          <t>M</t>
        </is>
      </c>
      <c r="C3" s="8" t="n">
        <v>42782</v>
      </c>
      <c r="D3" s="9" t="inlineStr">
        <is>
          <t>?</t>
        </is>
      </c>
      <c r="E3" s="8">
        <f>VLOOKUP(O3,$H$3:$I$13,2,TRUE)</f>
        <v/>
      </c>
      <c r="F3" s="2" t="n"/>
      <c r="G3" s="2" t="n"/>
      <c r="H3" s="10" t="n">
        <v>6</v>
      </c>
      <c r="I3" s="10" t="inlineStr">
        <is>
          <t>A</t>
        </is>
      </c>
      <c r="J3" s="2" t="n"/>
      <c r="K3" s="13" t="n"/>
      <c r="L3" s="2" t="n"/>
      <c r="M3" s="12">
        <f>$B$1</f>
        <v/>
      </c>
      <c r="N3" s="2">
        <f>(M3-C3)/365</f>
        <v/>
      </c>
      <c r="O3" s="2">
        <f>ROUND(N3,0)</f>
        <v/>
      </c>
    </row>
    <row r="4">
      <c r="A4" s="7" t="inlineStr">
        <is>
          <t>XXX</t>
        </is>
      </c>
      <c r="B4" s="7" t="inlineStr">
        <is>
          <t>F</t>
        </is>
      </c>
      <c r="C4" s="8" t="n">
        <v>43032</v>
      </c>
      <c r="D4" s="9" t="inlineStr">
        <is>
          <t>?</t>
        </is>
      </c>
      <c r="E4" s="8">
        <f>VLOOKUP(O4,$H$3:$I$13,2,TRUE)</f>
        <v/>
      </c>
      <c r="F4" s="2" t="n"/>
      <c r="G4" s="2" t="n"/>
      <c r="H4" s="10" t="n">
        <v>7</v>
      </c>
      <c r="I4" s="10" t="inlineStr">
        <is>
          <t>A</t>
        </is>
      </c>
      <c r="J4" s="2" t="n"/>
      <c r="K4" s="13" t="n"/>
      <c r="L4" s="2" t="n"/>
      <c r="M4" s="12">
        <f>$B$1</f>
        <v/>
      </c>
      <c r="N4" s="2">
        <f>(M4-C4)/365</f>
        <v/>
      </c>
      <c r="O4" s="2">
        <f>ROUND(N4,0)</f>
        <v/>
      </c>
    </row>
    <row r="5">
      <c r="A5" s="7" t="inlineStr">
        <is>
          <t>XXX</t>
        </is>
      </c>
      <c r="B5" s="7" t="inlineStr">
        <is>
          <t>F</t>
        </is>
      </c>
      <c r="C5" s="8" t="n">
        <v>42339</v>
      </c>
      <c r="D5" s="9" t="inlineStr">
        <is>
          <t>?</t>
        </is>
      </c>
      <c r="E5" s="8">
        <f>VLOOKUP(O5,$H$3:$I$13,2,TRUE)</f>
        <v/>
      </c>
      <c r="F5" s="2" t="n"/>
      <c r="G5" s="2" t="n"/>
      <c r="H5" s="10" t="n">
        <v>8</v>
      </c>
      <c r="I5" s="10" t="inlineStr">
        <is>
          <t>B</t>
        </is>
      </c>
      <c r="J5" s="2" t="n"/>
      <c r="K5" s="13" t="n"/>
      <c r="L5" s="2" t="n"/>
      <c r="M5" s="12">
        <f>$B$1</f>
        <v/>
      </c>
      <c r="N5" s="2">
        <f>(M5-C5)/365</f>
        <v/>
      </c>
      <c r="O5" s="2">
        <f>ROUND(N5,0)</f>
        <v/>
      </c>
    </row>
    <row r="6">
      <c r="A6" s="7" t="inlineStr">
        <is>
          <t>XXX</t>
        </is>
      </c>
      <c r="B6" s="7" t="inlineStr">
        <is>
          <t>F</t>
        </is>
      </c>
      <c r="C6" s="8" t="n">
        <v>42290</v>
      </c>
      <c r="D6" s="9" t="inlineStr">
        <is>
          <t>?</t>
        </is>
      </c>
      <c r="E6" s="8">
        <f>VLOOKUP(O6,$H$3:$I$13,2,TRUE)</f>
        <v/>
      </c>
      <c r="F6" s="2" t="n"/>
      <c r="G6" s="2" t="n"/>
      <c r="H6" s="10" t="n">
        <v>9</v>
      </c>
      <c r="I6" s="10" t="inlineStr">
        <is>
          <t>B</t>
        </is>
      </c>
      <c r="J6" s="2" t="n"/>
      <c r="K6" s="13" t="n"/>
      <c r="L6" s="2" t="n"/>
      <c r="M6" s="12">
        <f>$B$1</f>
        <v/>
      </c>
      <c r="N6" s="2">
        <f>(M6-C6)/365</f>
        <v/>
      </c>
      <c r="O6" s="2">
        <f>ROUND(N6,0)</f>
        <v/>
      </c>
    </row>
    <row r="7">
      <c r="A7" s="7" t="inlineStr">
        <is>
          <t>XXX</t>
        </is>
      </c>
      <c r="B7" s="7" t="inlineStr">
        <is>
          <t>F</t>
        </is>
      </c>
      <c r="C7" s="8" t="n">
        <v>42480</v>
      </c>
      <c r="D7" s="9" t="inlineStr">
        <is>
          <t>?</t>
        </is>
      </c>
      <c r="E7" s="8">
        <f>VLOOKUP(O7,$H$3:$I$13,2,TRUE)</f>
        <v/>
      </c>
      <c r="F7" s="2" t="n"/>
      <c r="G7" s="2" t="n"/>
      <c r="H7" s="10" t="n">
        <v>10</v>
      </c>
      <c r="I7" s="10" t="inlineStr">
        <is>
          <t>C</t>
        </is>
      </c>
      <c r="J7" s="2" t="n"/>
      <c r="K7" s="13" t="n"/>
      <c r="L7" s="2" t="n"/>
      <c r="M7" s="12">
        <f>$B$1</f>
        <v/>
      </c>
      <c r="N7" s="2">
        <f>(M7-C7)/365</f>
        <v/>
      </c>
      <c r="O7" s="2">
        <f>ROUND(N7,0)</f>
        <v/>
      </c>
    </row>
    <row r="8">
      <c r="A8" s="7" t="inlineStr">
        <is>
          <t>XXX</t>
        </is>
      </c>
      <c r="B8" s="7" t="inlineStr">
        <is>
          <t>F</t>
        </is>
      </c>
      <c r="C8" s="8" t="n">
        <v>41843</v>
      </c>
      <c r="D8" s="9" t="inlineStr">
        <is>
          <t>?</t>
        </is>
      </c>
      <c r="E8" s="8">
        <f>VLOOKUP(O8,$H$3:$I$13,2,TRUE)</f>
        <v/>
      </c>
      <c r="F8" s="2" t="n"/>
      <c r="G8" s="2" t="n"/>
      <c r="H8" s="10" t="n">
        <v>11</v>
      </c>
      <c r="I8" s="10" t="inlineStr">
        <is>
          <t>C</t>
        </is>
      </c>
      <c r="J8" s="2" t="n"/>
      <c r="K8" s="13" t="n"/>
      <c r="L8" s="2" t="n"/>
      <c r="M8" s="12">
        <f>$B$1</f>
        <v/>
      </c>
      <c r="N8" s="2">
        <f>(M8-C8)/365</f>
        <v/>
      </c>
      <c r="O8" s="2">
        <f>ROUND(N8,0)</f>
        <v/>
      </c>
    </row>
    <row r="9">
      <c r="A9" s="7" t="inlineStr">
        <is>
          <t>XXX</t>
        </is>
      </c>
      <c r="B9" s="7" t="inlineStr">
        <is>
          <t>F</t>
        </is>
      </c>
      <c r="C9" s="8" t="n">
        <v>41940</v>
      </c>
      <c r="D9" s="9" t="inlineStr">
        <is>
          <t>?</t>
        </is>
      </c>
      <c r="E9" s="8">
        <f>VLOOKUP(O9,$H$3:$I$13,2,TRUE)</f>
        <v/>
      </c>
      <c r="F9" s="2" t="n"/>
      <c r="G9" s="2" t="n"/>
      <c r="H9" s="10" t="n">
        <v>12</v>
      </c>
      <c r="I9" s="10" t="inlineStr">
        <is>
          <t>D</t>
        </is>
      </c>
      <c r="J9" s="2" t="n"/>
      <c r="K9" s="13" t="n"/>
      <c r="L9" s="2" t="n"/>
      <c r="M9" s="12">
        <f>$B$1</f>
        <v/>
      </c>
      <c r="N9" s="2">
        <f>(M9-C9)/365</f>
        <v/>
      </c>
      <c r="O9" s="2">
        <f>ROUND(N9,0)</f>
        <v/>
      </c>
    </row>
    <row r="10">
      <c r="A10" s="7" t="inlineStr">
        <is>
          <t>XXX</t>
        </is>
      </c>
      <c r="B10" s="7" t="inlineStr">
        <is>
          <t>F</t>
        </is>
      </c>
      <c r="C10" s="8" t="n">
        <v>41881</v>
      </c>
      <c r="D10" s="9" t="inlineStr">
        <is>
          <t>?</t>
        </is>
      </c>
      <c r="E10" s="8">
        <f>VLOOKUP(O10,$H$3:$I$13,2,TRUE)</f>
        <v/>
      </c>
      <c r="F10" s="2" t="n"/>
      <c r="G10" s="2" t="n"/>
      <c r="H10" s="10" t="n">
        <v>13</v>
      </c>
      <c r="I10" s="10" t="inlineStr">
        <is>
          <t>D</t>
        </is>
      </c>
      <c r="J10" s="2" t="n"/>
      <c r="K10" s="13" t="n"/>
      <c r="L10" s="2" t="n"/>
      <c r="M10" s="12">
        <f>$B$1</f>
        <v/>
      </c>
      <c r="N10" s="2">
        <f>(M10-C10)/365</f>
        <v/>
      </c>
      <c r="O10" s="2">
        <f>ROUND(N10,0)</f>
        <v/>
      </c>
    </row>
    <row r="11">
      <c r="A11" s="7" t="inlineStr">
        <is>
          <t>XXX</t>
        </is>
      </c>
      <c r="B11" s="7" t="inlineStr">
        <is>
          <t>F</t>
        </is>
      </c>
      <c r="C11" s="8" t="n">
        <v>42499</v>
      </c>
      <c r="D11" s="9" t="inlineStr">
        <is>
          <t>?</t>
        </is>
      </c>
      <c r="E11" s="8">
        <f>VLOOKUP(O11,$H$3:$I$13,2,TRUE)</f>
        <v/>
      </c>
      <c r="F11" s="2" t="n"/>
      <c r="G11" s="2" t="n"/>
      <c r="H11" s="10" t="n">
        <v>14</v>
      </c>
      <c r="I11" s="10" t="inlineStr">
        <is>
          <t>D</t>
        </is>
      </c>
      <c r="J11" s="2" t="n"/>
      <c r="K11" s="13" t="n"/>
      <c r="L11" s="2" t="n"/>
      <c r="M11" s="12">
        <f>$B$1</f>
        <v/>
      </c>
      <c r="N11" s="2">
        <f>(M11-C11)/365</f>
        <v/>
      </c>
      <c r="O11" s="2">
        <f>ROUND(N11,0)</f>
        <v/>
      </c>
    </row>
    <row r="12">
      <c r="A12" s="7" t="inlineStr">
        <is>
          <t>XXX</t>
        </is>
      </c>
      <c r="B12" s="7" t="inlineStr">
        <is>
          <t>F</t>
        </is>
      </c>
      <c r="C12" s="8" t="n">
        <v>41599</v>
      </c>
      <c r="D12" s="9" t="inlineStr">
        <is>
          <t>?</t>
        </is>
      </c>
      <c r="E12" s="8">
        <f>VLOOKUP(O12,$H$3:$I$13,2,TRUE)</f>
        <v/>
      </c>
      <c r="F12" s="2" t="n"/>
      <c r="G12" s="2" t="n"/>
      <c r="H12" s="2" t="n"/>
      <c r="I12" s="2" t="n"/>
      <c r="J12" s="2" t="n"/>
      <c r="K12" s="13" t="n"/>
      <c r="L12" s="2" t="n"/>
      <c r="M12" s="12">
        <f>$B$1</f>
        <v/>
      </c>
      <c r="N12" s="2">
        <f>(M12-C12)/365</f>
        <v/>
      </c>
      <c r="O12" s="2">
        <f>ROUND(N12,0)</f>
        <v/>
      </c>
    </row>
    <row r="13">
      <c r="A13" s="7" t="inlineStr">
        <is>
          <t>XXX</t>
        </is>
      </c>
      <c r="B13" s="7" t="inlineStr">
        <is>
          <t>F</t>
        </is>
      </c>
      <c r="C13" s="8" t="n">
        <v>41661</v>
      </c>
      <c r="D13" s="9" t="inlineStr">
        <is>
          <t>?</t>
        </is>
      </c>
      <c r="E13" s="8">
        <f>VLOOKUP(O13,$H$3:$I$13,2,TRUE)</f>
        <v/>
      </c>
      <c r="F13" s="2" t="n"/>
      <c r="G13" s="2" t="n"/>
      <c r="H13" s="2" t="n"/>
      <c r="I13" s="2" t="n"/>
      <c r="J13" s="2" t="n"/>
      <c r="K13" s="13" t="n"/>
      <c r="L13" s="2" t="n"/>
      <c r="M13" s="12">
        <f>$B$1</f>
        <v/>
      </c>
      <c r="N13" s="2">
        <f>(M13-C13)/365</f>
        <v/>
      </c>
      <c r="O13" s="2">
        <f>ROUND(N13,0)</f>
        <v/>
      </c>
    </row>
    <row r="14">
      <c r="A14" s="7" t="inlineStr">
        <is>
          <t>XXX</t>
        </is>
      </c>
      <c r="B14" s="7" t="inlineStr">
        <is>
          <t>F</t>
        </is>
      </c>
      <c r="C14" s="8" t="n">
        <v>41815</v>
      </c>
      <c r="D14" s="9" t="inlineStr">
        <is>
          <t>?</t>
        </is>
      </c>
      <c r="E14" s="8">
        <f>VLOOKUP(O14,$H$3:$I$13,2,TRUE)</f>
        <v/>
      </c>
      <c r="F14" s="2" t="n"/>
      <c r="G14" s="2" t="n"/>
      <c r="H14" s="2" t="n"/>
      <c r="I14" s="2" t="n"/>
      <c r="J14" s="2" t="n"/>
      <c r="K14" s="13" t="n"/>
      <c r="L14" s="2" t="n"/>
      <c r="M14" s="12">
        <f>$B$1</f>
        <v/>
      </c>
      <c r="N14" s="2">
        <f>(M14-C14)/365</f>
        <v/>
      </c>
      <c r="O14" s="2">
        <f>ROUND(N14,0)</f>
        <v/>
      </c>
    </row>
    <row r="15">
      <c r="A15" s="7" t="inlineStr">
        <is>
          <t>XXX</t>
        </is>
      </c>
      <c r="B15" s="7" t="inlineStr">
        <is>
          <t>F</t>
        </is>
      </c>
      <c r="C15" s="8" t="n">
        <v>41056</v>
      </c>
      <c r="D15" s="9" t="inlineStr">
        <is>
          <t>?</t>
        </is>
      </c>
      <c r="E15" s="8">
        <f>VLOOKUP(O15,$H$3:$I$13,2,TRUE)</f>
        <v/>
      </c>
      <c r="F15" s="2" t="n"/>
      <c r="G15" s="2" t="n"/>
      <c r="H15" s="2" t="n"/>
      <c r="I15" s="2" t="n"/>
      <c r="J15" s="2" t="n"/>
      <c r="K15" s="13" t="n"/>
      <c r="L15" s="2" t="n"/>
      <c r="M15" s="12">
        <f>$B$1</f>
        <v/>
      </c>
      <c r="N15" s="2">
        <f>(M15-C15)/365</f>
        <v/>
      </c>
      <c r="O15" s="2">
        <f>ROUND(N15,0)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Canggih Wirawan</dc:creator>
  <dcterms:created xsi:type="dcterms:W3CDTF">2023-12-06T07:27:00Z</dcterms:created>
  <dcterms:modified xsi:type="dcterms:W3CDTF">2026-09-05T20:24:30Z</dcterms:modified>
  <cp:lastModifiedBy>ZIA UR REHMAN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65BEF390396F4D0CA81CAB175C606EE4_12</vt:lpwstr>
  </property>
  <property name="KSOProductBuildVer" fmtid="{D5CDD505-2E9C-101B-9397-08002B2CF9AE}" pid="3">
    <vt:lpwstr>2052-12.1.0.16729</vt:lpwstr>
  </property>
</Properties>
</file>