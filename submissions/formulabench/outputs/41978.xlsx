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umulative" sheetId="1" state="visible" r:id="rId1"/>
  </sheets>
  <definedNames>
    <definedName name="_xlnm._FilterDatabase" localSheetId="0" hidden="1">'Cumulative'!$B$1:$M$185</definedName>
    <definedName name="_xlnm.Print_Titles" localSheetId="0">'Cumulative'!$1:$1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9" fontId="2" fillId="3" borderId="3" applyAlignment="1" pivotButton="0" quotePrefix="0" xfId="1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/>
    </xf>
    <xf numFmtId="0" fontId="2" fillId="3" borderId="9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right"/>
    </xf>
    <xf numFmtId="0" fontId="2" fillId="6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6" borderId="15" applyAlignment="1" pivotButton="0" quotePrefix="0" xfId="0">
      <alignment horizontal="right"/>
    </xf>
    <xf numFmtId="9" fontId="2" fillId="6" borderId="15" applyAlignment="1" pivotButton="0" quotePrefix="0" xfId="1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7" borderId="17" applyAlignment="1" pivotButton="0" quotePrefix="0" xfId="0">
      <alignment horizontal="right"/>
    </xf>
    <xf numFmtId="0" fontId="2" fillId="7" borderId="18" applyAlignment="1" pivotButton="0" quotePrefix="0" xfId="0">
      <alignment horizontal="center" vertical="center"/>
    </xf>
    <xf numFmtId="0" fontId="2" fillId="4" borderId="10" pivotButton="0" quotePrefix="0" xfId="0"/>
    <xf numFmtId="0" fontId="2" fillId="0" borderId="19" pivotButton="0" quotePrefix="0" xfId="0"/>
    <xf numFmtId="164" fontId="2" fillId="7" borderId="20" applyAlignment="1" pivotButton="0" quotePrefix="0" xfId="1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5" borderId="22" applyAlignment="1" pivotButton="0" quotePrefix="0" xfId="0">
      <alignment horizontal="center"/>
    </xf>
    <xf numFmtId="0" fontId="2" fillId="0" borderId="1" pivotButton="0" quotePrefix="0" xfId="0"/>
    <xf numFmtId="0" fontId="2" fillId="0" borderId="2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0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6" fillId="9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9" borderId="1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0" fillId="10" borderId="1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2" pivotButton="0" quotePrefix="0" xfId="0"/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9" borderId="0" pivotButton="0" quotePrefix="0" xfId="0"/>
    <xf numFmtId="0" fontId="0" fillId="0" borderId="7" pivotButton="0" quotePrefix="0" xfId="0"/>
    <xf numFmtId="0" fontId="6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4" pivotButton="0" quotePrefix="0" xfId="0"/>
  </cellXfs>
  <cellStyles count="2">
    <cellStyle name="Normal" xfId="0" builtinId="0"/>
    <cellStyle name="Percent" xfId="1" builtinId="5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tabSelected="1" topLeftCell="B1" zoomScale="90" zoomScaleNormal="90" workbookViewId="0">
      <pane xSplit="2" ySplit="11" topLeftCell="D30" activePane="bottomRight" state="frozen"/>
      <selection activeCell="B1" sqref="B1"/>
      <selection pane="topRight" activeCell="D1" sqref="D1"/>
      <selection pane="bottomLeft" activeCell="B12" sqref="B12"/>
      <selection pane="bottomRight" activeCell="E8" sqref="E8"/>
    </sheetView>
  </sheetViews>
  <sheetFormatPr baseColWidth="8" defaultRowHeight="15" outlineLevelRow="1"/>
  <cols>
    <col hidden="1" width="5.7109375" customWidth="1" min="1" max="1"/>
    <col width="19.7109375" bestFit="1" customWidth="1" min="2" max="2"/>
    <col width="23.85546875" bestFit="1" customWidth="1" min="3" max="3"/>
    <col width="12.5703125" customWidth="1" style="70" min="4" max="4"/>
    <col width="27.7109375" customWidth="1" style="88" min="5" max="5"/>
    <col width="13" customWidth="1" style="88" min="6" max="6"/>
    <col width="17.7109375" customWidth="1" min="7" max="7"/>
    <col width="10.7109375" bestFit="1" customWidth="1" min="8" max="8"/>
    <col width="12.7109375" customWidth="1" min="9" max="9"/>
    <col width="23" customWidth="1" min="10" max="10"/>
    <col width="12.140625" customWidth="1" min="11" max="11"/>
    <col width="9.5703125" customWidth="1" min="13" max="13"/>
  </cols>
  <sheetData>
    <row r="1" ht="55.15" customFormat="1" customHeight="1" s="1" thickBot="1">
      <c r="B1" s="2" t="inlineStr">
        <is>
          <t>Last Name</t>
        </is>
      </c>
      <c r="C1" s="2" t="inlineStr">
        <is>
          <t>First Name</t>
        </is>
      </c>
      <c r="D1" s="3">
        <f>SUBTOTAL(102,D14:D185)</f>
        <v/>
      </c>
      <c r="E1" s="4" t="inlineStr">
        <is>
          <t>Violation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</row>
    <row r="2" outlineLevel="1" ht="25.15" customHeight="1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>
        <f>SUMPRODUCT(($G$14:$G$185=H2)*($J$14:$J$185="Open"))</f>
        <v/>
      </c>
      <c r="J2" s="17" t="inlineStr">
        <is>
          <t>Closed</t>
        </is>
      </c>
      <c r="K2" s="17">
        <f>COUNTIF(J14:J701,"Closed")</f>
        <v/>
      </c>
      <c r="M2" s="18" t="n"/>
    </row>
    <row r="3" outlineLevel="1" ht="18" customHeight="1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>
        <f>SUMPRODUCT(($G$14:$G$185=H3)*($J$14:$J$185="Open"))</f>
        <v/>
      </c>
      <c r="J3" s="27" t="inlineStr">
        <is>
          <t>Open</t>
        </is>
      </c>
      <c r="K3" s="27">
        <f>COUNTIF(J14:J702,"Open")</f>
        <v/>
      </c>
    </row>
    <row r="4" outlineLevel="1" ht="21" customHeight="1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>
        <f>SUMPRODUCT(($G$14:$G$185=H4)*($J$14:$J$185="Open"))</f>
        <v/>
      </c>
      <c r="J4" s="32" t="inlineStr">
        <is>
          <t>Blank</t>
        </is>
      </c>
      <c r="K4" s="32">
        <f>COUNTIF(J14:J703,"na")</f>
        <v/>
      </c>
    </row>
    <row r="5" outlineLevel="1" ht="15.6" customHeight="1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>
        <f>SUMPRODUCT(($G$14:$G$185=H5)*($J$14:$J$185="Open"))</f>
        <v/>
      </c>
      <c r="J5" s="35" t="n"/>
      <c r="K5" s="17">
        <f>SUM(K2:K4)</f>
        <v/>
      </c>
    </row>
    <row r="6" outlineLevel="1" ht="18" customHeight="1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>
        <f>SUMPRODUCT(($G$14:$G$185=H6)*($J$14:$J$185="Open"))</f>
        <v/>
      </c>
    </row>
    <row r="7" outlineLevel="1" ht="15.6" customHeight="1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>
        <f>SUMPRODUCT(($G$14:$G$185=H7)*($J$14:$J$185="Open"))</f>
        <v/>
      </c>
      <c r="J7" s="39" t="n"/>
      <c r="K7" s="39" t="n"/>
    </row>
    <row r="8" outlineLevel="1" ht="15.6" customHeight="1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>
        <f>SUMPRODUCT(($G$14:$G$185=H8)*($J$14:$J$185="Open"))</f>
        <v/>
      </c>
      <c r="J8" s="39" t="n"/>
      <c r="K8" s="39" t="n"/>
    </row>
    <row r="9" outlineLevel="1" ht="15.6" customHeight="1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>
        <f>SUMPRODUCT(($G$14:$G$185=H9)*($J$14:$J$185="Open"))</f>
        <v/>
      </c>
      <c r="J9" s="39" t="n"/>
      <c r="K9" s="39" t="n"/>
    </row>
    <row r="10" outlineLevel="1" ht="15.6" customHeight="1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>
        <f>SUMPRODUCT(($G$14:$G$185=H10)*($J$14:$J$185="Open"))</f>
        <v/>
      </c>
      <c r="J10" s="39" t="n"/>
      <c r="K10" s="39" t="n"/>
    </row>
    <row r="11" outlineLevel="1" ht="15.6" customHeight="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>
        <f>SUMPRODUCT(($G$14:$G$185=H11)*($J$14:$J$185="Open"))</f>
        <v/>
      </c>
    </row>
    <row r="12" ht="15.6" customHeight="1">
      <c r="B12" s="45" t="n"/>
      <c r="C12" s="45" t="n"/>
      <c r="D12" s="16" t="n"/>
      <c r="E12" s="45" t="n"/>
      <c r="F12" s="45" t="n"/>
      <c r="G12" s="46" t="n"/>
      <c r="H12" s="25" t="n"/>
      <c r="I12" s="25" t="n"/>
    </row>
    <row r="13" ht="21" customHeight="1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</row>
    <row r="14" outlineLevel="1" ht="15.6" customHeight="1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</row>
    <row r="15" outlineLevel="1" ht="15.6" customHeight="1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</row>
    <row r="16" outlineLevel="1" ht="15.6" customHeight="1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r="17" outlineLevel="1" ht="15.6" customHeight="1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r="18" outlineLevel="1" ht="26.25" customHeight="1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</row>
    <row r="19" outlineLevel="1" ht="26.25" customHeight="1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</row>
    <row r="20" outlineLevel="1" ht="15.6" customHeight="1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</row>
    <row r="21" outlineLevel="1" ht="15.6" customHeight="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</row>
    <row r="22" outlineLevel="1" ht="28.9" customHeight="1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r="23" outlineLevel="1" ht="28.9" customHeight="1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</row>
    <row r="24" outlineLevel="1" ht="28.9" customHeight="1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r="25" outlineLevel="1" ht="15.6" customHeight="1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</row>
    <row r="26" outlineLevel="1" ht="15.6" customHeight="1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</row>
    <row r="27" outlineLevel="1" ht="15.6" customHeight="1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</row>
    <row r="28" outlineLevel="1" ht="15.6" customHeight="1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r="29" outlineLevel="1" ht="15.6" customHeight="1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</row>
    <row r="30" outlineLevel="1" ht="15.6" customHeight="1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</row>
    <row r="31" outlineLevel="1" ht="15.6" customHeight="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</row>
    <row r="32" outlineLevel="1" ht="15.6" customHeight="1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r="33" outlineLevel="1" ht="44.25" customHeight="1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r="34" outlineLevel="1" ht="15.6" customHeight="1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r="35" outlineLevel="1" ht="31.9" customHeight="1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</row>
    <row r="36" outlineLevel="1" ht="15.6" customHeight="1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</row>
    <row r="37" outlineLevel="1" ht="15.6" customHeight="1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</row>
    <row r="38" outlineLevel="1" ht="15.6" customHeight="1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r="39" outlineLevel="1" ht="15.6" customHeight="1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</row>
    <row r="40" outlineLevel="1" ht="15.6" customHeight="1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</row>
    <row r="41" outlineLevel="1" ht="15.6" customHeight="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r="42" outlineLevel="1" ht="15.6" customHeight="1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</row>
    <row r="43" outlineLevel="1" ht="15.6" customHeight="1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</row>
    <row r="44" outlineLevel="1" ht="15.6" customHeight="1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</row>
    <row r="45" outlineLevel="1" ht="15.6" customHeight="1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</row>
    <row r="46" outlineLevel="1" ht="15.6" customHeight="1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r="47" outlineLevel="1" ht="15.6" customHeight="1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</row>
    <row r="48" outlineLevel="1" ht="15.6" customHeight="1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</row>
    <row r="49" outlineLevel="1" ht="15.6" customHeight="1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</row>
    <row r="50" outlineLevel="1" ht="15.6" customHeight="1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r="51" outlineLevel="1" ht="15.6" customHeight="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</row>
    <row r="52" outlineLevel="1" ht="21.75" customHeight="1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</row>
    <row r="53" outlineLevel="1" ht="15.6" customHeight="1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</row>
    <row r="54" ht="21" customHeight="1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</row>
    <row r="55" outlineLevel="1" ht="26.25" customHeight="1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</row>
    <row r="56" outlineLevel="1" ht="26.25" customHeight="1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</row>
    <row r="57" outlineLevel="1" ht="20.45" customHeight="1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</row>
    <row r="58" outlineLevel="1" ht="20.45" customHeight="1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</row>
    <row r="59" outlineLevel="1" ht="15.6" customHeight="1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</row>
    <row r="60" outlineLevel="1" ht="15.6" customHeight="1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</row>
    <row r="61" outlineLevel="1" ht="15.6" customHeight="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</row>
    <row r="62" outlineLevel="1" ht="15.6" customHeight="1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</row>
    <row r="63" outlineLevel="1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</row>
    <row r="64" outlineLevel="1" ht="15.6" customHeight="1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</row>
    <row r="65" outlineLevel="1" ht="15.6" customHeight="1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</row>
    <row r="66" outlineLevel="1" ht="15.6" customHeight="1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r="67" outlineLevel="1" ht="15.6" customHeight="1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</row>
    <row r="68" outlineLevel="1" ht="15.6" customHeight="1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r="69" outlineLevel="1" ht="15.6" customHeight="1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</row>
    <row r="70" outlineLevel="1" ht="15.6" customHeight="1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r="71" outlineLevel="1" ht="15.6" customHeight="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</row>
    <row r="72" outlineLevel="1" ht="24" customHeight="1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</row>
    <row r="73" outlineLevel="1" ht="24" customHeight="1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</row>
    <row r="74" outlineLevel="1" ht="15.6" customHeight="1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</row>
    <row r="75" outlineLevel="1" ht="15.6" customHeight="1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</row>
    <row r="76" outlineLevel="1" ht="15.6" customHeight="1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</row>
    <row r="77" outlineLevel="1" ht="15.6" customHeight="1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</row>
    <row r="78" outlineLevel="1" ht="15.6" customHeight="1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</row>
    <row r="79" outlineLevel="1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r="80" outlineLevel="1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</row>
    <row r="81" outlineLevel="1" ht="15.6" customHeight="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</row>
    <row r="82" outlineLevel="1" ht="15.6" customHeight="1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</row>
    <row r="83" outlineLevel="1" ht="15.6" customHeight="1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r="84" outlineLevel="1" ht="15.6" customHeight="1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</row>
    <row r="85" outlineLevel="1" ht="17.25" customHeight="1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</row>
    <row r="86" outlineLevel="1" ht="15.6" customHeight="1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</row>
    <row r="87" outlineLevel="1" ht="15.6" customHeight="1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</row>
    <row r="88" outlineLevel="1" ht="15.6" customHeight="1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</row>
    <row r="89" outlineLevel="1" ht="25.5" customHeight="1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</row>
    <row r="90" outlineLevel="1" ht="15.6" customHeight="1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</row>
    <row r="91" outlineLevel="1" ht="15.6" customHeight="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</row>
    <row r="92" outlineLevel="1" ht="15.6" customHeight="1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r="93" outlineLevel="1" ht="15.6" customHeight="1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</row>
    <row r="94" outlineLevel="1" ht="15.6" customHeight="1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</row>
    <row r="95" outlineLevel="1" ht="15.6" customHeight="1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</row>
    <row r="96" outlineLevel="1" ht="15.6" customHeight="1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r="97" outlineLevel="1" ht="15.6" customHeight="1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r="98" outlineLevel="1" ht="15.6" customHeight="1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</row>
    <row r="99" outlineLevel="1" ht="15.6" customHeight="1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</row>
    <row r="100" outlineLevel="1" ht="15.6" customHeight="1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</row>
    <row r="101" outlineLevel="1" ht="15.6" customHeight="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</row>
    <row r="102" outlineLevel="1" ht="15.6" customHeight="1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</row>
    <row r="103" outlineLevel="1" ht="15.6" customHeight="1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</row>
    <row r="104" outlineLevel="1" ht="15.6" customHeight="1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</row>
    <row r="105" outlineLevel="1" ht="15.6" customHeight="1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</row>
    <row r="106" outlineLevel="1" ht="15.6" customHeight="1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</row>
    <row r="107" outlineLevel="1" ht="15.6" customHeight="1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</row>
    <row r="108" outlineLevel="1" ht="15.6" customHeight="1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</row>
    <row r="109" outlineLevel="1" ht="15.6" customHeight="1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r="110" outlineLevel="1" ht="28.5" customHeight="1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</row>
    <row r="111" outlineLevel="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</row>
    <row r="112" outlineLevel="1" ht="15.6" customHeight="1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</row>
    <row r="113" outlineLevel="1" ht="16.15" customHeight="1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</row>
    <row r="114" outlineLevel="1" ht="16.15" customHeight="1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</row>
    <row r="115" outlineLevel="1" ht="16.15" customHeight="1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</row>
    <row r="116" outlineLevel="1" ht="15.6" customHeight="1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</row>
    <row r="117" outlineLevel="1" ht="15.6" customHeight="1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</row>
    <row r="118" outlineLevel="1" ht="15.6" customHeight="1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</row>
    <row r="119" outlineLevel="1" ht="15.6" customHeight="1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r="120" outlineLevel="1" ht="15.6" customHeight="1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r="121" outlineLevel="1" ht="15.6" customHeight="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r="122" outlineLevel="1" ht="15.6" customHeight="1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</row>
    <row r="123" outlineLevel="1" ht="27.75" customHeight="1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r="124" outlineLevel="1" ht="15.6" customHeight="1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</row>
    <row r="125" outlineLevel="1" ht="15.6" customHeight="1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</row>
    <row r="126" outlineLevel="1" ht="15.6" customHeight="1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</row>
    <row r="127" outlineLevel="1" ht="15.6" customHeight="1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r="128" outlineLevel="1" ht="15.6" customHeight="1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</row>
    <row r="129" outlineLevel="1" ht="15.6" customHeight="1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</row>
    <row r="130" outlineLevel="1" ht="15.6" customHeight="1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</row>
    <row r="131" outlineLevel="1" ht="15.6" customHeight="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</row>
    <row r="132" outlineLevel="1" ht="15.6" customHeight="1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</row>
    <row r="133" outlineLevel="1" ht="15.6" customHeight="1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r="134" outlineLevel="1" ht="15.6" customHeight="1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</row>
    <row r="135" outlineLevel="1" ht="15.6" customHeight="1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</row>
    <row r="136" outlineLevel="1" ht="15.6" customHeight="1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</row>
    <row r="137" outlineLevel="1" ht="15.6" customHeight="1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r="138" outlineLevel="1" ht="15.6" customHeight="1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</row>
    <row r="139" outlineLevel="1" ht="15.6" customHeight="1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</row>
    <row r="140" outlineLevel="1" ht="15.6" customHeight="1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</row>
    <row r="141" outlineLevel="1" ht="15.6" customHeight="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r="142" outlineLevel="1" ht="15.6" customHeight="1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</row>
    <row r="143" outlineLevel="1" ht="15.6" customHeight="1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</row>
    <row r="144" ht="21" customHeight="1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</row>
    <row r="145" outlineLevel="1" ht="15.6" customHeight="1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</row>
    <row r="146" outlineLevel="1" ht="15.6" customHeight="1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</row>
    <row r="147" outlineLevel="1" ht="15.6" customHeight="1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r="148" outlineLevel="1" ht="15.6" customHeight="1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</row>
    <row r="149" outlineLevel="1" ht="15.6" customHeight="1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</row>
    <row r="150" outlineLevel="1" ht="15.6" customHeight="1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</row>
    <row r="151" outlineLevel="1" ht="15.6" customHeight="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r="152" outlineLevel="1" ht="15.6" customHeight="1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</row>
    <row r="153" outlineLevel="1" ht="15.6" customHeight="1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r="154" outlineLevel="1" ht="15.6" customHeight="1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</row>
    <row r="155" outlineLevel="1" ht="15.6" customHeight="1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</row>
    <row r="156" outlineLevel="1" ht="15.6" customHeight="1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</row>
    <row r="157" outlineLevel="1" ht="15.6" customHeight="1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r="158" outlineLevel="1" ht="15.6" customHeight="1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</row>
    <row r="159" outlineLevel="1" ht="15.6" customHeight="1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</row>
    <row r="160" outlineLevel="1" ht="21" customHeight="1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</row>
    <row r="161" outlineLevel="1" ht="15.6" customHeight="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</row>
    <row r="162" outlineLevel="1" ht="15.6" customHeight="1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</row>
    <row r="163" outlineLevel="1" ht="15.6" customHeight="1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</row>
    <row r="164" outlineLevel="1" ht="15.6" customHeight="1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</row>
    <row r="165" outlineLevel="1" ht="15.6" customHeight="1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</row>
    <row r="166" outlineLevel="1" ht="15.6" customHeight="1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</row>
    <row r="167" outlineLevel="1" ht="15.6" customHeight="1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</row>
    <row r="168" outlineLevel="1" ht="15.6" customHeight="1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</row>
    <row r="169" outlineLevel="1" ht="15.6" customHeight="1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</row>
    <row r="170" outlineLevel="1" ht="15.6" customHeight="1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</row>
    <row r="171" outlineLevel="1" ht="15.6" customHeight="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</row>
    <row r="172" outlineLevel="1" ht="15.6" customHeight="1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r="173" outlineLevel="1" ht="15.6" customHeight="1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</row>
    <row r="174" outlineLevel="1" ht="15.6" customHeight="1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r="175" outlineLevel="1" ht="15.6" customHeight="1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</row>
    <row r="176" outlineLevel="1" ht="15.6" customHeight="1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</row>
    <row r="177" outlineLevel="1" ht="15.6" customHeight="1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r="178" outlineLevel="1" ht="15.6" customHeight="1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r="179" outlineLevel="1" ht="15.6" customHeight="1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r="180" outlineLevel="1" ht="15.6" customHeight="1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</row>
    <row r="181" outlineLevel="1" ht="15.6" customHeight="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</row>
    <row r="182" outlineLevel="1" ht="15.6" customHeight="1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r="183" outlineLevel="1" ht="15.6" customHeight="1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r="184" outlineLevel="1" ht="15.6" customHeight="1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r="185" outlineLevel="1" ht="15.6" customHeight="1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</row>
  </sheetData>
  <autoFilter ref="B1:M185"/>
  <mergeCells count="4">
    <mergeCell ref="A54:K54"/>
    <mergeCell ref="A144:K144"/>
    <mergeCell ref="B2:C11"/>
    <mergeCell ref="A13:K13"/>
  </mergeCells>
  <conditionalFormatting sqref="J14:J15 J20:J24 J27:J48 J51:J53 J55:J75 J78:J92 J94:J105 J110:J119 J122:J143 J145:J167 J170:J171 J177:J185">
    <cfRule type="containsText" priority="403" operator="containsText" dxfId="107" text="na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402" operator="containsText" dxfId="106" stopIfTrue="1" text="open">
      <formula>NOT(ISERROR(SEARCH("open",J14)))</formula>
    </cfRule>
  </conditionalFormatting>
  <conditionalFormatting sqref="B20:C48 B51:C53 B55:C75 B78:C143 B145:C173 B177:C185">
    <cfRule type="expression" priority="399" dxfId="0">
      <formula>$C20=""</formula>
    </cfRule>
    <cfRule type="expression" priority="400" dxfId="0">
      <formula>$C20=""</formula>
    </cfRule>
  </conditionalFormatting>
  <conditionalFormatting sqref="G186:G1047468">
    <cfRule type="expression" priority="397" dxfId="3">
      <formula>IF(J195:J619, "open")</formula>
    </cfRule>
  </conditionalFormatting>
  <conditionalFormatting sqref="G1047886">
    <cfRule type="expression" priority="405" dxfId="3">
      <formula>IF(J1:J1047895, "open")</formula>
    </cfRule>
  </conditionalFormatting>
  <conditionalFormatting sqref="G1047885">
    <cfRule type="expression" priority="406" dxfId="3">
      <formula>IF(J1:J1047894, "open")</formula>
    </cfRule>
  </conditionalFormatting>
  <conditionalFormatting sqref="G1047884">
    <cfRule type="expression" priority="407" dxfId="3">
      <formula>IF(J1:J1047893, "open")</formula>
    </cfRule>
  </conditionalFormatting>
  <conditionalFormatting sqref="G1047883">
    <cfRule type="expression" priority="408" dxfId="3">
      <formula>IF(J1:J1047892, "open")</formula>
    </cfRule>
  </conditionalFormatting>
  <conditionalFormatting sqref="G1047882">
    <cfRule type="expression" priority="409" dxfId="3">
      <formula>IF(J1:J1047891, "open")</formula>
    </cfRule>
  </conditionalFormatting>
  <conditionalFormatting sqref="G54">
    <cfRule type="expression" priority="411" dxfId="3">
      <formula>IF(J72:J205, "open")</formula>
    </cfRule>
  </conditionalFormatting>
  <conditionalFormatting sqref="G155">
    <cfRule type="expression" priority="412" dxfId="3">
      <formula>IF(J167:J251, "open")</formula>
    </cfRule>
  </conditionalFormatting>
  <conditionalFormatting sqref="G93">
    <cfRule type="expression" priority="414" dxfId="3">
      <formula>IF(J112:J224, "open")</formula>
    </cfRule>
  </conditionalFormatting>
  <conditionalFormatting sqref="B14:C15">
    <cfRule type="expression" priority="358" dxfId="0">
      <formula>$C14=""</formula>
    </cfRule>
    <cfRule type="expression" priority="359" dxfId="0">
      <formula>$C14=""</formula>
    </cfRule>
  </conditionalFormatting>
  <conditionalFormatting sqref="G144">
    <cfRule type="expression" priority="415" dxfId="3">
      <formula>IF(J163:J248, "open")</formula>
    </cfRule>
  </conditionalFormatting>
  <conditionalFormatting sqref="G156">
    <cfRule type="expression" priority="416" dxfId="3">
      <formula>IF(J170:J252, "open")</formula>
    </cfRule>
  </conditionalFormatting>
  <conditionalFormatting sqref="G157">
    <cfRule type="expression" priority="417" dxfId="3">
      <formula>IF(J177:J253, "open")</formula>
    </cfRule>
  </conditionalFormatting>
  <conditionalFormatting sqref="J25:J26">
    <cfRule type="containsText" priority="339" operator="containsText" dxfId="107" text="na">
      <formula>NOT(ISERROR(SEARCH("na",J25)))</formula>
    </cfRule>
    <cfRule type="containsText" priority="338" operator="containsText" dxfId="106" stopIfTrue="1" text="open">
      <formula>NOT(ISERROR(SEARCH("open",J25)))</formula>
    </cfRule>
  </conditionalFormatting>
  <conditionalFormatting sqref="J106:J109">
    <cfRule type="containsText" priority="337" operator="containsText" dxfId="107" text="na">
      <formula>NOT(ISERROR(SEARCH("na",J106)))</formula>
    </cfRule>
    <cfRule type="containsText" priority="336" operator="containsText" dxfId="106" stopIfTrue="1" text="open">
      <formula>NOT(ISERROR(SEARCH("open",J106)))</formula>
    </cfRule>
  </conditionalFormatting>
  <conditionalFormatting sqref="J172:J173">
    <cfRule type="containsText" priority="335" operator="containsText" dxfId="107" text="na">
      <formula>NOT(ISERROR(SEARCH("na",J172)))</formula>
    </cfRule>
    <cfRule type="containsText" priority="334" operator="containsText" dxfId="106" stopIfTrue="1" text="open">
      <formula>NOT(ISERROR(SEARCH("open",J172)))</formula>
    </cfRule>
  </conditionalFormatting>
  <conditionalFormatting sqref="J120:J121">
    <cfRule type="containsText" priority="333" operator="containsText" dxfId="107" text="na">
      <formula>NOT(ISERROR(SEARCH("na",J120)))</formula>
    </cfRule>
    <cfRule type="containsText" priority="332" operator="containsText" dxfId="106" stopIfTrue="1" text="open">
      <formula>NOT(ISERROR(SEARCH("open",J120)))</formula>
    </cfRule>
  </conditionalFormatting>
  <conditionalFormatting sqref="J93">
    <cfRule type="containsText" priority="331" operator="containsText" dxfId="107" text="na">
      <formula>NOT(ISERROR(SEARCH("na",J93)))</formula>
    </cfRule>
    <cfRule type="containsText" priority="330" operator="containsText" dxfId="106" stopIfTrue="1" text="open">
      <formula>NOT(ISERROR(SEARCH("open",J93)))</formula>
    </cfRule>
  </conditionalFormatting>
  <conditionalFormatting sqref="J168:J169">
    <cfRule type="containsText" priority="329" operator="containsText" dxfId="107" text="na">
      <formula>NOT(ISERROR(SEARCH("na",J168)))</formula>
    </cfRule>
    <cfRule type="containsText" priority="328" operator="containsText" dxfId="106" stopIfTrue="1" text="open">
      <formula>NOT(ISERROR(SEARCH("open",J168)))</formula>
    </cfRule>
  </conditionalFormatting>
  <conditionalFormatting sqref="J49:J50">
    <cfRule type="containsText" priority="324" operator="containsText" dxfId="107" text="na">
      <formula>NOT(ISERROR(SEARCH("na",J49)))</formula>
    </cfRule>
    <cfRule type="containsText" priority="323" operator="containsText" dxfId="106" stopIfTrue="1" text="open">
      <formula>NOT(ISERROR(SEARCH("open",J49)))</formula>
    </cfRule>
  </conditionalFormatting>
  <conditionalFormatting sqref="B49:C50">
    <cfRule type="expression" priority="320" dxfId="0">
      <formula>$C49=""</formula>
    </cfRule>
    <cfRule type="expression" priority="321" dxfId="0">
      <formula>$C49=""</formula>
    </cfRule>
  </conditionalFormatting>
  <conditionalFormatting sqref="J18:J19">
    <cfRule type="containsText" priority="222" operator="containsText" dxfId="107" text="na">
      <formula>NOT(ISERROR(SEARCH("na",J18)))</formula>
    </cfRule>
    <cfRule type="containsText" priority="221" operator="containsText" dxfId="106" stopIfTrue="1" text="open">
      <formula>NOT(ISERROR(SEARCH("open",J18)))</formula>
    </cfRule>
  </conditionalFormatting>
  <conditionalFormatting sqref="B18:C19">
    <cfRule type="expression" priority="217" dxfId="0">
      <formula>$C18=""</formula>
    </cfRule>
    <cfRule type="expression" priority="218" dxfId="0">
      <formula>$C18=""</formula>
    </cfRule>
  </conditionalFormatting>
  <conditionalFormatting sqref="B174:C176">
    <cfRule type="expression" priority="150" dxfId="0">
      <formula>$C174=""</formula>
    </cfRule>
    <cfRule type="expression" priority="151" dxfId="0">
      <formula>$C174=""</formula>
    </cfRule>
  </conditionalFormatting>
  <conditionalFormatting sqref="J174:J176">
    <cfRule type="containsText" priority="145" operator="containsText" dxfId="107" text="na">
      <formula>NOT(ISERROR(SEARCH("na",J174)))</formula>
    </cfRule>
    <cfRule type="containsText" priority="144" operator="containsText" dxfId="106" stopIfTrue="1" text="open">
      <formula>NOT(ISERROR(SEARCH("open",J174)))</formula>
    </cfRule>
  </conditionalFormatting>
  <conditionalFormatting sqref="J76:J77">
    <cfRule type="containsText" priority="134" operator="containsText" dxfId="107" text="na">
      <formula>NOT(ISERROR(SEARCH("na",J76)))</formula>
    </cfRule>
    <cfRule type="containsText" priority="133" operator="containsText" dxfId="106" stopIfTrue="1" text="open">
      <formula>NOT(ISERROR(SEARCH("open",J76)))</formula>
    </cfRule>
  </conditionalFormatting>
  <conditionalFormatting sqref="B76:C77">
    <cfRule type="expression" priority="130" dxfId="0">
      <formula>$C76=""</formula>
    </cfRule>
    <cfRule type="expression" priority="131" dxfId="0">
      <formula>$C76=""</formula>
    </cfRule>
  </conditionalFormatting>
  <conditionalFormatting sqref="G53">
    <cfRule type="expression" priority="437" dxfId="3">
      <formula>IF(J68:J204, "open")</formula>
    </cfRule>
  </conditionalFormatting>
  <conditionalFormatting sqref="G34">
    <cfRule type="expression" priority="438" dxfId="3">
      <formula>IF(J53:J195, "open")</formula>
    </cfRule>
  </conditionalFormatting>
  <conditionalFormatting sqref="G35">
    <cfRule type="expression" priority="439" dxfId="3">
      <formula>IF(J51:J194, "open")</formula>
    </cfRule>
  </conditionalFormatting>
  <conditionalFormatting sqref="G143">
    <cfRule type="expression" priority="447" dxfId="3">
      <formula>IF(J161:J247, "open")</formula>
    </cfRule>
  </conditionalFormatting>
  <conditionalFormatting sqref="G122">
    <cfRule type="expression" priority="448" dxfId="3">
      <formula>IF(J141:J237, "open")</formula>
    </cfRule>
  </conditionalFormatting>
  <conditionalFormatting sqref="G52">
    <cfRule type="expression" priority="451" dxfId="3">
      <formula>IF(J68:J204, "open")</formula>
    </cfRule>
  </conditionalFormatting>
  <conditionalFormatting sqref="G94">
    <cfRule type="expression" priority="459" dxfId="3">
      <formula>IF(J113:J224, "open")</formula>
    </cfRule>
  </conditionalFormatting>
  <conditionalFormatting sqref="J16:J17">
    <cfRule type="containsText" priority="53" operator="containsText" dxfId="107" text="na">
      <formula>NOT(ISERROR(SEARCH("na",J16)))</formula>
    </cfRule>
    <cfRule type="containsText" priority="52" operator="containsText" dxfId="106" stopIfTrue="1" text="open">
      <formula>NOT(ISERROR(SEARCH("open",J16)))</formula>
    </cfRule>
  </conditionalFormatting>
  <conditionalFormatting sqref="B16:C17">
    <cfRule type="expression" priority="48" dxfId="0">
      <formula>$C16=""</formula>
    </cfRule>
    <cfRule type="expression" priority="49" dxfId="0">
      <formula>$C16=""</formula>
    </cfRule>
  </conditionalFormatting>
  <conditionalFormatting sqref="G126">
    <cfRule type="expression" priority="464" dxfId="3">
      <formula>IF(J150:J240, "open")</formula>
    </cfRule>
  </conditionalFormatting>
  <conditionalFormatting sqref="G127">
    <cfRule type="expression" priority="465" dxfId="3">
      <formula>IF(J153:J241, "open")</formula>
    </cfRule>
  </conditionalFormatting>
  <conditionalFormatting sqref="G119">
    <cfRule type="expression" priority="474" dxfId="3">
      <formula>IF(J138:J236, "open")</formula>
    </cfRule>
  </conditionalFormatting>
  <conditionalFormatting sqref="G31">
    <cfRule type="expression" priority="475" dxfId="3">
      <formula>IF(J48:J193, "open")</formula>
    </cfRule>
  </conditionalFormatting>
  <conditionalFormatting sqref="G13">
    <cfRule type="expression" priority="478" dxfId="3">
      <formula>IF(J39:J187, "open")</formula>
    </cfRule>
  </conditionalFormatting>
  <conditionalFormatting sqref="G1047889:G1048576">
    <cfRule type="expression" priority="493" dxfId="3">
      <formula>IF(J1:J1047898, "open")</formula>
    </cfRule>
  </conditionalFormatting>
  <conditionalFormatting sqref="G138">
    <cfRule type="expression" priority="529" dxfId="3">
      <formula>IF(J158:J245, "open")</formula>
    </cfRule>
  </conditionalFormatting>
  <conditionalFormatting sqref="G99">
    <cfRule type="expression" priority="530" dxfId="3">
      <formula>IF(J119:J227, "open")</formula>
    </cfRule>
  </conditionalFormatting>
  <conditionalFormatting sqref="G152">
    <cfRule type="expression" priority="532" dxfId="3">
      <formula>IF(J165:J250, "open")</formula>
    </cfRule>
  </conditionalFormatting>
  <conditionalFormatting sqref="G81">
    <cfRule type="expression" priority="533" dxfId="3">
      <formula>IF(J96:J217, "open")</formula>
    </cfRule>
  </conditionalFormatting>
  <conditionalFormatting sqref="G116">
    <cfRule type="expression" priority="534" dxfId="3">
      <formula>IF(J130:J234, "open")</formula>
    </cfRule>
  </conditionalFormatting>
  <conditionalFormatting sqref="G17">
    <cfRule type="expression" priority="543" dxfId="3">
      <formula>IF(J42:J189, "open")</formula>
    </cfRule>
  </conditionalFormatting>
  <conditionalFormatting sqref="G20">
    <cfRule type="expression" priority="544" dxfId="3">
      <formula>IF(J40:J188, "open")</formula>
    </cfRule>
  </conditionalFormatting>
  <conditionalFormatting sqref="G21">
    <cfRule type="expression" priority="545" dxfId="3">
      <formula>IF(J42:J189, "open")</formula>
    </cfRule>
  </conditionalFormatting>
  <conditionalFormatting sqref="G24">
    <cfRule type="expression" priority="559" dxfId="3">
      <formula>IF(J44:J190, "open")</formula>
    </cfRule>
  </conditionalFormatting>
  <conditionalFormatting sqref="G115">
    <cfRule type="expression" priority="562" dxfId="3">
      <formula>IF(J130:J234, "open")</formula>
    </cfRule>
  </conditionalFormatting>
  <conditionalFormatting sqref="G114">
    <cfRule type="expression" priority="564" dxfId="3">
      <formula>IF(J130:J234, "open")</formula>
    </cfRule>
  </conditionalFormatting>
  <conditionalFormatting sqref="G113">
    <cfRule type="expression" priority="565" dxfId="3">
      <formula>IF(J128:J233, "open")</formula>
    </cfRule>
  </conditionalFormatting>
  <conditionalFormatting sqref="G48">
    <cfRule type="expression" priority="570" dxfId="3">
      <formula>IF(J63:J202, "open")</formula>
    </cfRule>
  </conditionalFormatting>
  <conditionalFormatting sqref="G22">
    <cfRule type="expression" priority="571" dxfId="3">
      <formula>IF(J42:J189, "open")</formula>
    </cfRule>
  </conditionalFormatting>
  <conditionalFormatting sqref="G23">
    <cfRule type="expression" priority="572" dxfId="3">
      <formula>IF(J44:J190, "open")</formula>
    </cfRule>
  </conditionalFormatting>
  <conditionalFormatting sqref="G30">
    <cfRule type="expression" priority="573" dxfId="3">
      <formula>IF(J48:J193, "open")</formula>
    </cfRule>
  </conditionalFormatting>
  <conditionalFormatting sqref="G90">
    <cfRule type="expression" priority="579" dxfId="3">
      <formula>IF(J104:J222, "open")</formula>
    </cfRule>
  </conditionalFormatting>
  <conditionalFormatting sqref="G89">
    <cfRule type="expression" priority="580" dxfId="3">
      <formula>IF(J102:J221, "open")</formula>
    </cfRule>
  </conditionalFormatting>
  <conditionalFormatting sqref="G112">
    <cfRule type="expression" priority="591" dxfId="3">
      <formula>IF(J128:J233, "open")</formula>
    </cfRule>
  </conditionalFormatting>
  <conditionalFormatting sqref="G91">
    <cfRule type="expression" priority="592" dxfId="3">
      <formula>IF(J110:J223, "open")</formula>
    </cfRule>
  </conditionalFormatting>
  <conditionalFormatting sqref="G92">
    <cfRule type="expression" priority="593" dxfId="3">
      <formula>IF(J112:J224, "open")</formula>
    </cfRule>
  </conditionalFormatting>
  <conditionalFormatting sqref="G44">
    <cfRule type="expression" priority="600" dxfId="3">
      <formula>IF(J59:J199, "open")</formula>
    </cfRule>
  </conditionalFormatting>
  <conditionalFormatting sqref="G51">
    <cfRule type="expression" priority="603" dxfId="3">
      <formula>IF(J64:J203, "open")</formula>
    </cfRule>
  </conditionalFormatting>
  <conditionalFormatting sqref="G16">
    <cfRule type="expression" priority="604" dxfId="3">
      <formula>IF(J40:J188, "open")</formula>
    </cfRule>
  </conditionalFormatting>
  <conditionalFormatting sqref="G132">
    <cfRule type="expression" priority="628" dxfId="3">
      <formula>IF(J157:J244, "open")</formula>
    </cfRule>
  </conditionalFormatting>
  <conditionalFormatting sqref="G1047469:G1047824">
    <cfRule type="expression" priority="886" dxfId="3">
      <formula>IF(J1:J1047478, "open")</formula>
    </cfRule>
  </conditionalFormatting>
  <conditionalFormatting sqref="G166">
    <cfRule type="expression" priority="889" dxfId="3">
      <formula>IF(J186:J259, "open")</formula>
    </cfRule>
  </conditionalFormatting>
  <conditionalFormatting sqref="G182">
    <cfRule type="expression" priority="890" dxfId="3">
      <formula>IF(J186:J264, "open")</formula>
    </cfRule>
  </conditionalFormatting>
  <conditionalFormatting sqref="G183">
    <cfRule type="expression" priority="891" dxfId="3">
      <formula>IF(J186:J263, "open")</formula>
    </cfRule>
  </conditionalFormatting>
  <conditionalFormatting sqref="G2">
    <cfRule type="expression" priority="892" dxfId="3">
      <formula>IF(J22:J185, "open")</formula>
    </cfRule>
  </conditionalFormatting>
  <conditionalFormatting sqref="G1">
    <cfRule type="expression" priority="893" dxfId="3">
      <formula>IF(J20:J185, "open")</formula>
    </cfRule>
  </conditionalFormatting>
  <conditionalFormatting sqref="G7">
    <cfRule type="expression" priority="894" dxfId="3">
      <formula>IF(J35:J185, "open")</formula>
    </cfRule>
  </conditionalFormatting>
  <conditionalFormatting sqref="G167">
    <cfRule type="expression" priority="895" dxfId="3">
      <formula>IF(J186:J260, "open")</formula>
    </cfRule>
  </conditionalFormatting>
  <conditionalFormatting sqref="G179">
    <cfRule type="expression" priority="896" dxfId="3">
      <formula>IF(J186:J263, "open")</formula>
    </cfRule>
  </conditionalFormatting>
  <conditionalFormatting sqref="G6">
    <cfRule type="expression" priority="897" dxfId="3">
      <formula>IF(J31:J185, "open")</formula>
    </cfRule>
  </conditionalFormatting>
  <conditionalFormatting sqref="G12">
    <cfRule type="expression" priority="898" dxfId="3">
      <formula>IF(J36:J186, "open")</formula>
    </cfRule>
  </conditionalFormatting>
  <conditionalFormatting sqref="G184">
    <cfRule type="expression" priority="899" dxfId="3">
      <formula>IF(J186:J264, "open")</formula>
    </cfRule>
  </conditionalFormatting>
  <conditionalFormatting sqref="G177">
    <cfRule type="expression" priority="900" dxfId="3">
      <formula>IF(J186:J262, "open")</formula>
    </cfRule>
  </conditionalFormatting>
  <conditionalFormatting sqref="G178">
    <cfRule type="expression" priority="901" dxfId="3">
      <formula>IF(J186:J263, "open")</formula>
    </cfRule>
  </conditionalFormatting>
  <conditionalFormatting sqref="G174">
    <cfRule type="expression" priority="902" dxfId="3">
      <formula>IF(J186:J264, "open")</formula>
    </cfRule>
  </conditionalFormatting>
  <conditionalFormatting sqref="G66:G67">
    <cfRule type="expression" priority="903" dxfId="3">
      <formula>IF(J90:J213, "open")</formula>
    </cfRule>
  </conditionalFormatting>
  <conditionalFormatting sqref="G175:G176">
    <cfRule type="expression" priority="904" dxfId="3">
      <formula>IF(J186:J265, "open")</formula>
    </cfRule>
  </conditionalFormatting>
  <conditionalFormatting sqref="G104:G105">
    <cfRule type="expression" priority="905" dxfId="3">
      <formula>IF(J126:J231, "open")</formula>
    </cfRule>
  </conditionalFormatting>
  <conditionalFormatting sqref="G42:G43">
    <cfRule type="expression" priority="906" dxfId="3">
      <formula>IF(J57:J198, "open")</formula>
    </cfRule>
  </conditionalFormatting>
  <conditionalFormatting sqref="G61:G63">
    <cfRule type="expression" priority="907" dxfId="3">
      <formula>IF(J85:J209, "open")</formula>
    </cfRule>
  </conditionalFormatting>
  <conditionalFormatting sqref="G85:G88">
    <cfRule type="expression" priority="908" dxfId="3">
      <formula>IF(J99:J218, "open")</formula>
    </cfRule>
  </conditionalFormatting>
  <conditionalFormatting sqref="G172:G173">
    <cfRule type="expression" priority="909" dxfId="3">
      <formula>IF(J186:J263, "open")</formula>
    </cfRule>
  </conditionalFormatting>
  <conditionalFormatting sqref="G100:G103">
    <cfRule type="expression" priority="910" dxfId="3">
      <formula>IF(J122:J228, "open")</formula>
    </cfRule>
  </conditionalFormatting>
  <conditionalFormatting sqref="G135:G137">
    <cfRule type="expression" priority="911" dxfId="3">
      <formula>IF(J160:J246, "open")</formula>
    </cfRule>
  </conditionalFormatting>
  <conditionalFormatting sqref="G180:G181">
    <cfRule type="expression" priority="912" dxfId="3">
      <formula>IF(J186:J263, "open")</formula>
    </cfRule>
  </conditionalFormatting>
  <conditionalFormatting sqref="G185">
    <cfRule type="expression" priority="913" dxfId="3">
      <formula>IF(J186:J265, "open")</formula>
    </cfRule>
  </conditionalFormatting>
  <conditionalFormatting sqref="G170:G171">
    <cfRule type="expression" priority="914" dxfId="3">
      <formula>IF(J186:J261, "open")</formula>
    </cfRule>
  </conditionalFormatting>
  <conditionalFormatting sqref="G168:G169">
    <cfRule type="expression" priority="915" dxfId="3">
      <formula>IF(J186:J261, "open")</formula>
    </cfRule>
  </conditionalFormatting>
  <conditionalFormatting sqref="G163:G165">
    <cfRule type="expression" priority="916" dxfId="3">
      <formula>IF(J186:J257, "open")</formula>
    </cfRule>
  </conditionalFormatting>
  <conditionalFormatting sqref="G160:G162">
    <cfRule type="expression" priority="917" dxfId="3">
      <formula>IF(J184:J255, "open")</formula>
    </cfRule>
  </conditionalFormatting>
  <conditionalFormatting sqref="G158:G159">
    <cfRule type="expression" priority="919" dxfId="3">
      <formula>IF(J183:J254, "open")</formula>
    </cfRule>
  </conditionalFormatting>
  <conditionalFormatting sqref="G145:G146">
    <cfRule type="expression" priority="920" dxfId="3">
      <formula>IF(J165:J250, "open")</formula>
    </cfRule>
    <cfRule type="expression" priority="929" dxfId="3">
      <formula>IF(J163:J248, "open")</formula>
    </cfRule>
  </conditionalFormatting>
  <conditionalFormatting sqref="G153:G154">
    <cfRule type="expression" priority="921" dxfId="3">
      <formula>IF(J166:J250, "open")</formula>
    </cfRule>
  </conditionalFormatting>
  <conditionalFormatting sqref="G147:G149">
    <cfRule type="expression" priority="922" dxfId="3">
      <formula>IF(J164:J249, "open")</formula>
    </cfRule>
  </conditionalFormatting>
  <conditionalFormatting sqref="G141:G142">
    <cfRule type="expression" priority="923" dxfId="3">
      <formula>IF(J160:J246, "open")</formula>
    </cfRule>
  </conditionalFormatting>
  <conditionalFormatting sqref="G106:G109">
    <cfRule type="expression" priority="924" dxfId="3">
      <formula>IF(J156:J243, "open")</formula>
    </cfRule>
  </conditionalFormatting>
  <conditionalFormatting sqref="G133:G134">
    <cfRule type="expression" priority="925" dxfId="3">
      <formula>IF(J157:J244, "open")</formula>
    </cfRule>
  </conditionalFormatting>
  <conditionalFormatting sqref="G139:G140">
    <cfRule type="expression" priority="926" dxfId="3">
      <formula>IF(J160:J246, "open")</formula>
    </cfRule>
  </conditionalFormatting>
  <conditionalFormatting sqref="G150:G151">
    <cfRule type="expression" priority="927" dxfId="3">
      <formula>IF(J164:J249, "open")</formula>
    </cfRule>
  </conditionalFormatting>
  <conditionalFormatting sqref="G128:G129">
    <cfRule type="expression" priority="928" dxfId="3">
      <formula>IF(J155:J242, "open")</formula>
    </cfRule>
  </conditionalFormatting>
  <conditionalFormatting sqref="G120:G121">
    <cfRule type="expression" priority="930" dxfId="3">
      <formula>IF(J141:J237, "open")</formula>
    </cfRule>
  </conditionalFormatting>
  <conditionalFormatting sqref="G123:G125">
    <cfRule type="expression" priority="931" dxfId="3">
      <formula>IF(J143:J238, "open")</formula>
    </cfRule>
  </conditionalFormatting>
  <conditionalFormatting sqref="G117:G118">
    <cfRule type="expression" priority="932" dxfId="3">
      <formula>IF(J133:J235, "open")</formula>
    </cfRule>
  </conditionalFormatting>
  <conditionalFormatting sqref="G130:G131">
    <cfRule type="expression" priority="933" dxfId="3">
      <formula>IF(J156:J243, "open")</formula>
    </cfRule>
  </conditionalFormatting>
  <conditionalFormatting sqref="G95:G98">
    <cfRule type="expression" priority="934" dxfId="3">
      <formula>IF(J116:J225, "open")</formula>
    </cfRule>
  </conditionalFormatting>
  <conditionalFormatting sqref="G110:G111">
    <cfRule type="expression" priority="935" dxfId="3">
      <formula>IF(J127:J232, "open")</formula>
    </cfRule>
  </conditionalFormatting>
  <conditionalFormatting sqref="G82:G84">
    <cfRule type="expression" priority="936" dxfId="3">
      <formula>IF(J96:J217, "open")</formula>
    </cfRule>
  </conditionalFormatting>
  <conditionalFormatting sqref="G72:G73">
    <cfRule type="expression" priority="937" dxfId="3">
      <formula>IF(J91:J214, "open")</formula>
    </cfRule>
  </conditionalFormatting>
  <conditionalFormatting sqref="G74:G75">
    <cfRule type="expression" priority="938" dxfId="3">
      <formula>IF(J94:J215, "open")</formula>
    </cfRule>
  </conditionalFormatting>
  <conditionalFormatting sqref="G68:G71">
    <cfRule type="expression" priority="939" dxfId="3">
      <formula>IF(J90:J213, "open")</formula>
    </cfRule>
  </conditionalFormatting>
  <conditionalFormatting sqref="G76:G80">
    <cfRule type="expression" priority="940" dxfId="3">
      <formula>IF(J92:J213, "open")</formula>
    </cfRule>
  </conditionalFormatting>
  <conditionalFormatting sqref="G64:G65">
    <cfRule type="expression" priority="941" dxfId="3">
      <formula>IF(J89:J212, "open")</formula>
    </cfRule>
  </conditionalFormatting>
  <conditionalFormatting sqref="G59:G60">
    <cfRule type="expression" priority="942" dxfId="3">
      <formula>IF(J82:J208, "open")</formula>
    </cfRule>
  </conditionalFormatting>
  <conditionalFormatting sqref="G57:G58">
    <cfRule type="expression" priority="943" dxfId="3">
      <formula>IF(J79:J207, "open")</formula>
    </cfRule>
  </conditionalFormatting>
  <conditionalFormatting sqref="G55:G56">
    <cfRule type="expression" priority="944" dxfId="3">
      <formula>IF(J78:J206, "open")</formula>
    </cfRule>
  </conditionalFormatting>
  <conditionalFormatting sqref="G10:G11">
    <cfRule type="expression" priority="945" dxfId="3">
      <formula>IF(J36:J186, "open")</formula>
    </cfRule>
  </conditionalFormatting>
  <conditionalFormatting sqref="G39:G41">
    <cfRule type="expression" priority="946" dxfId="3">
      <formula>IF(J54:J196, "open")</formula>
    </cfRule>
  </conditionalFormatting>
  <conditionalFormatting sqref="G49:G50">
    <cfRule type="expression" priority="947" dxfId="3">
      <formula>IF(J63:J202, "open")</formula>
    </cfRule>
  </conditionalFormatting>
  <conditionalFormatting sqref="G45:G47">
    <cfRule type="expression" priority="948" dxfId="3">
      <formula>IF(J61:J200, "open")</formula>
    </cfRule>
  </conditionalFormatting>
  <conditionalFormatting sqref="G32:G33">
    <cfRule type="expression" priority="949" dxfId="3">
      <formula>IF(J51:J194, "open")</formula>
    </cfRule>
  </conditionalFormatting>
  <conditionalFormatting sqref="G36:G38">
    <cfRule type="expression" priority="950" dxfId="3">
      <formula>IF(J53:J195, "open")</formula>
    </cfRule>
  </conditionalFormatting>
  <conditionalFormatting sqref="G18:G19">
    <cfRule type="expression" priority="951" dxfId="3">
      <formula>IF(J40:J188, "open")</formula>
    </cfRule>
  </conditionalFormatting>
  <conditionalFormatting sqref="G27:G29">
    <cfRule type="expression" priority="952" dxfId="3">
      <formula>IF(J44:J190, "open")</formula>
    </cfRule>
  </conditionalFormatting>
  <conditionalFormatting sqref="G25:G26">
    <cfRule type="expression" priority="953" dxfId="3">
      <formula>IF(J44:J190, "open")</formula>
    </cfRule>
  </conditionalFormatting>
  <conditionalFormatting sqref="G14:G15">
    <cfRule type="expression" priority="954" dxfId="3">
      <formula>IF(J39:J187, "open")</formula>
    </cfRule>
  </conditionalFormatting>
  <conditionalFormatting sqref="G8:G9">
    <cfRule type="expression" priority="955" dxfId="3">
      <formula>IF(J35:J185, "open")</formula>
    </cfRule>
  </conditionalFormatting>
  <conditionalFormatting sqref="G3:G5">
    <cfRule type="expression" priority="957" dxfId="3">
      <formula>IF(J27:J185, "open")</formula>
    </cfRule>
  </conditionalFormatting>
  <conditionalFormatting sqref="G1047825:G1047881">
    <cfRule type="expression" priority="958" dxfId="3">
      <formula>IF(J1:J1047834, "open")</formula>
    </cfRule>
  </conditionalFormatting>
  <conditionalFormatting sqref="G1047887:G1047888">
    <cfRule type="expression" priority="959" dxfId="3">
      <formula>IF(J1:J1047896, "open")</formula>
    </cfRule>
  </conditionalFormatting>
  <conditionalFormatting sqref="B14:B53 B55:B143 B145:B185">
    <cfRule type="expression" priority="960" dxfId="0">
      <formula>OR(#REF!="",#REF!="")</formula>
    </cfRule>
  </conditionalFormatting>
  <conditionalFormatting sqref="C14:C53 C55:C143 C145:C185">
    <cfRule type="expression" priority="966" dxfId="0">
      <formula>OR(#REF!="",#REF!="")</formula>
    </cfRule>
  </conditionalFormatting>
  <conditionalFormatting sqref="G14:G185">
    <cfRule type="expression" priority="972" dxfId="0">
      <formula>OR(#REF!="",#REF!="")</formula>
    </cfRule>
  </conditionalFormatting>
  <pageMargins left="0.7" right="0.7" top="0.75" bottom="0.75" header="0.3" footer="0.3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Jeffreys-Berns, Eric</dc:creator>
  <dcterms:created xsi:type="dcterms:W3CDTF">2022-09-09T15:24:04Z</dcterms:created>
  <dcterms:modified xsi:type="dcterms:W3CDTF">2026-09-05T20:26:02Z</dcterms:modified>
  <cp:lastModifiedBy>Jeffreys-Berns, Eric</cp:lastModifiedBy>
</cp:coreProperties>
</file>